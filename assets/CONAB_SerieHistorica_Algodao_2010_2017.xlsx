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CONAB" sheetId="1" state="visible" r:id="rId3"/>
    <sheet name="Legenda e Dicioná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<sst xmlns="http://schemas.openxmlformats.org/spreadsheetml/2006/main" count="206" uniqueCount="57">
  <si>
    <t xml:space="preserve">SÉRIE HISTÓRICA – ALGODÃO EM CAROÇO – BRASIL (2010–2017)</t>
  </si>
  <si>
    <t xml:space="preserve">Fonte: CONAB – Portal de Informações Agropecuárias | https://portaldeinformacoes.conab.gov.br</t>
  </si>
  <si>
    <t xml:space="preserve">Quant. Discreta ▼</t>
  </si>
  <si>
    <t xml:space="preserve">Qualit. Nominal ▼</t>
  </si>
  <si>
    <t xml:space="preserve">Quant. Contínua ▼</t>
  </si>
  <si>
    <t xml:space="preserve">Qualit. Ordinal ▼</t>
  </si>
  <si>
    <t xml:space="preserve">Nº</t>
  </si>
  <si>
    <t xml:space="preserve">Ano da Safra</t>
  </si>
  <si>
    <t xml:space="preserve">UF (Estado)</t>
  </si>
  <si>
    <t xml:space="preserve">Área Plantada (mil ha)</t>
  </si>
  <si>
    <t xml:space="preserve">Produção (mil t)</t>
  </si>
  <si>
    <t xml:space="preserve">Classificação da Produtividade</t>
  </si>
  <si>
    <t xml:space="preserve">BA</t>
  </si>
  <si>
    <t xml:space="preserve">Excelente</t>
  </si>
  <si>
    <t xml:space="preserve">CE</t>
  </si>
  <si>
    <t xml:space="preserve">Baixa</t>
  </si>
  <si>
    <t xml:space="preserve">GO</t>
  </si>
  <si>
    <t xml:space="preserve">MA</t>
  </si>
  <si>
    <t xml:space="preserve">Boa</t>
  </si>
  <si>
    <t xml:space="preserve">MG</t>
  </si>
  <si>
    <t xml:space="preserve">MS</t>
  </si>
  <si>
    <t xml:space="preserve">MT</t>
  </si>
  <si>
    <t xml:space="preserve">PI</t>
  </si>
  <si>
    <t xml:space="preserve">SP</t>
  </si>
  <si>
    <t xml:space="preserve">TO</t>
  </si>
  <si>
    <t xml:space="preserve">Regular</t>
  </si>
  <si>
    <t xml:space="preserve">RR</t>
  </si>
  <si>
    <t xml:space="preserve">TOTAIS / MÉDIAS</t>
  </si>
  <si>
    <t xml:space="preserve">DICIONÁRIO DE VARIÁVEIS – SÉRIE HISTÓRICA ALGODÃO CONAB</t>
  </si>
  <si>
    <t xml:space="preserve">Coluna</t>
  </si>
  <si>
    <t xml:space="preserve">Tipo de Variável</t>
  </si>
  <si>
    <t xml:space="preserve">Descrição</t>
  </si>
  <si>
    <t xml:space="preserve">Fonte</t>
  </si>
  <si>
    <t xml:space="preserve">Quantitativa DISCRETA</t>
  </si>
  <si>
    <t xml:space="preserve">Ano inteiro de início da safra agrícola (ex: 2010, 2011, ..., 2017). Valores inteiros, não fracionados.</t>
  </si>
  <si>
    <t xml:space="preserve">CONAB – Série Histórica de Grãos</t>
  </si>
  <si>
    <t xml:space="preserve">Qualitativa NOMINAL</t>
  </si>
  <si>
    <t xml:space="preserve">Unidade da Federação produtora de algodão em caroço. Categorias sem ordem natural entre si (BA, GO, MA, MG, etc.).</t>
  </si>
  <si>
    <t xml:space="preserve">Quantitativa CONTÍNUA</t>
  </si>
  <si>
    <t xml:space="preserve">Área plantada com algodão em caroço em mil hectares. Valor real decimal, mensurável em qualquer ponto do intervalo.</t>
  </si>
  <si>
    <t xml:space="preserve">Volume total produzido em mil toneladas. Valor real decimal, pode assumir qualquer valor positivo.</t>
  </si>
  <si>
    <t xml:space="preserve">Qualitativa ORDINAL</t>
  </si>
  <si>
    <t xml:space="preserve">Avaliação da produtividade com ordem crescente definida: Baixa  &lt;  Regular  &lt;  Boa  &lt;  Excelente. Baseada nos kg/ha da safra.</t>
  </si>
  <si>
    <t xml:space="preserve">Derivada dos dados CONAB (critério acadêmico)</t>
  </si>
  <si>
    <t xml:space="preserve">ESCALA ORDINAL – Classificação da Produtividade (kg/ha)</t>
  </si>
  <si>
    <t xml:space="preserve">&lt; 2.000 kg/ha</t>
  </si>
  <si>
    <t xml:space="preserve">Produtividade muito abaixo da média histórica da cultura no Brasil.</t>
  </si>
  <si>
    <t xml:space="preserve">Nível 1/4</t>
  </si>
  <si>
    <t xml:space="preserve">2.000 – 3.499 kg/ha</t>
  </si>
  <si>
    <t xml:space="preserve">Produtividade abaixo da média. Impacto climático ou de manejo.</t>
  </si>
  <si>
    <t xml:space="preserve">Nível 2/4</t>
  </si>
  <si>
    <t xml:space="preserve">3.500 – 3.999 kg/ha</t>
  </si>
  <si>
    <t xml:space="preserve">Produtividade dentro da média histórica nacional.</t>
  </si>
  <si>
    <t xml:space="preserve">Nível 3/4</t>
  </si>
  <si>
    <t xml:space="preserve">≥ 4.000 kg/ha</t>
  </si>
  <si>
    <t xml:space="preserve">Produtividade acima da média — safra de alto desempenho.</t>
  </si>
  <si>
    <t xml:space="preserve">Nível 4/4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</si>
</sst>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388E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75757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21212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388E3C"/>
      </patternFill>
    </fill>
    <fill>
      <patternFill patternType="solid">
        <fgColor rgb="FFE8F5E9"/>
        <bgColor rgb="FFF1F8E9"/>
      </patternFill>
    </fill>
    <fill>
      <patternFill patternType="solid">
        <fgColor rgb="FFC8E6C9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B71C1C"/>
        <bgColor rgb="FF993366"/>
      </patternFill>
    </fill>
    <fill>
      <patternFill patternType="solid">
        <fgColor rgb="FF388E3C"/>
        <bgColor rgb="FF2E7D32"/>
      </patternFill>
    </fill>
    <fill>
      <patternFill patternType="solid">
        <fgColor rgb="FFF57F17"/>
        <bgColor rgb="FFFF9900"/>
      </patternFill>
    </fill>
    <fill>
      <patternFill patternType="solid">
        <fgColor rgb="FFF1F8E9"/>
        <bgColor rgb="FFF5F5F5"/>
      </patternFill>
    </fill>
    <fill>
      <patternFill patternType="solid">
        <fgColor rgb="FFF5F5F5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1F8E9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F17"/>
      <rgbColor rgb="FF666699"/>
      <rgbColor rgb="FF969696"/>
      <rgbColor rgb="FF003366"/>
      <rgbColor rgb="FF388E3C"/>
      <rgbColor rgb="FF003300"/>
      <rgbColor rgb="FF1B5E20"/>
      <rgbColor rgb="FFB71C1C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3"/>
      <c r="B3" s="4" t="s">
        <v>2</v>
      </c>
      <c r="C3" s="4" t="s">
        <v>3</v>
      </c>
      <c r="D3" s="4" t="s">
        <v>4</v>
      </c>
      <c r="E3" s="4" t="s">
        <v>4</v>
      </c>
      <c r="F3" s="4" t="s">
        <v>5</v>
      </c>
    </row>
    <row r="4" customFormat="false" ht="31.5" hidden="false" customHeight="true" outlineLevel="0" collapsed="false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customFormat="false" ht="16.5" hidden="false" customHeight="true" outlineLevel="0" collapsed="false">
      <c r="A5" s="6" t="n">
        <v>1</v>
      </c>
      <c r="B5" s="7" t="n">
        <v>2010</v>
      </c>
      <c r="C5" s="8" t="s">
        <v>12</v>
      </c>
      <c r="D5" s="9" t="n">
        <v>405.3</v>
      </c>
      <c r="E5" s="9" t="n">
        <v>1611.1</v>
      </c>
      <c r="F5" s="10" t="s">
        <v>13</v>
      </c>
    </row>
    <row r="6" customFormat="false" ht="16.5" hidden="false" customHeight="true" outlineLevel="0" collapsed="false">
      <c r="A6" s="11" t="n">
        <v>2</v>
      </c>
      <c r="B6" s="12" t="n">
        <v>2010</v>
      </c>
      <c r="C6" s="13" t="s">
        <v>14</v>
      </c>
      <c r="D6" s="14" t="n">
        <v>3.1</v>
      </c>
      <c r="E6" s="14" t="n">
        <v>3.1</v>
      </c>
      <c r="F6" s="15" t="s">
        <v>15</v>
      </c>
    </row>
    <row r="7" customFormat="false" ht="16.5" hidden="false" customHeight="true" outlineLevel="0" collapsed="false">
      <c r="A7" s="6" t="n">
        <v>3</v>
      </c>
      <c r="B7" s="7" t="n">
        <v>2010</v>
      </c>
      <c r="C7" s="8" t="s">
        <v>16</v>
      </c>
      <c r="D7" s="9" t="n">
        <v>108.3</v>
      </c>
      <c r="E7" s="9" t="n">
        <v>428.9</v>
      </c>
      <c r="F7" s="10" t="s">
        <v>13</v>
      </c>
    </row>
    <row r="8" customFormat="false" ht="16.5" hidden="false" customHeight="true" outlineLevel="0" collapsed="false">
      <c r="A8" s="11" t="n">
        <v>4</v>
      </c>
      <c r="B8" s="12" t="n">
        <v>2010</v>
      </c>
      <c r="C8" s="13" t="s">
        <v>17</v>
      </c>
      <c r="D8" s="14" t="n">
        <v>18.1</v>
      </c>
      <c r="E8" s="14" t="n">
        <v>71.1</v>
      </c>
      <c r="F8" s="16" t="s">
        <v>18</v>
      </c>
    </row>
    <row r="9" customFormat="false" ht="16.5" hidden="false" customHeight="true" outlineLevel="0" collapsed="false">
      <c r="A9" s="6" t="n">
        <v>5</v>
      </c>
      <c r="B9" s="7" t="n">
        <v>2010</v>
      </c>
      <c r="C9" s="8" t="s">
        <v>19</v>
      </c>
      <c r="D9" s="9" t="n">
        <v>31.6</v>
      </c>
      <c r="E9" s="9" t="n">
        <v>115.8</v>
      </c>
      <c r="F9" s="16" t="s">
        <v>18</v>
      </c>
    </row>
    <row r="10" customFormat="false" ht="16.5" hidden="false" customHeight="true" outlineLevel="0" collapsed="false">
      <c r="A10" s="11" t="n">
        <v>6</v>
      </c>
      <c r="B10" s="12" t="n">
        <v>2010</v>
      </c>
      <c r="C10" s="13" t="s">
        <v>20</v>
      </c>
      <c r="D10" s="14" t="n">
        <v>61</v>
      </c>
      <c r="E10" s="14" t="n">
        <v>228.8</v>
      </c>
      <c r="F10" s="16" t="s">
        <v>18</v>
      </c>
    </row>
    <row r="11" customFormat="false" ht="16.5" hidden="false" customHeight="true" outlineLevel="0" collapsed="false">
      <c r="A11" s="6" t="n">
        <v>7</v>
      </c>
      <c r="B11" s="7" t="n">
        <v>2010</v>
      </c>
      <c r="C11" s="8" t="s">
        <v>21</v>
      </c>
      <c r="D11" s="9" t="n">
        <v>723.5</v>
      </c>
      <c r="E11" s="9" t="n">
        <v>2561.2</v>
      </c>
      <c r="F11" s="16" t="s">
        <v>18</v>
      </c>
    </row>
    <row r="12" customFormat="false" ht="16.5" hidden="false" customHeight="true" outlineLevel="0" collapsed="false">
      <c r="A12" s="11" t="n">
        <v>8</v>
      </c>
      <c r="B12" s="12" t="n">
        <v>2010</v>
      </c>
      <c r="C12" s="13" t="s">
        <v>22</v>
      </c>
      <c r="D12" s="14" t="n">
        <v>17.8</v>
      </c>
      <c r="E12" s="14" t="n">
        <v>67.3</v>
      </c>
      <c r="F12" s="16" t="s">
        <v>18</v>
      </c>
    </row>
    <row r="13" customFormat="false" ht="16.5" hidden="false" customHeight="true" outlineLevel="0" collapsed="false">
      <c r="A13" s="6" t="n">
        <v>9</v>
      </c>
      <c r="B13" s="7" t="n">
        <v>2010</v>
      </c>
      <c r="C13" s="8" t="s">
        <v>23</v>
      </c>
      <c r="D13" s="9" t="n">
        <v>18.1</v>
      </c>
      <c r="E13" s="9" t="n">
        <v>73.3</v>
      </c>
      <c r="F13" s="10" t="s">
        <v>13</v>
      </c>
    </row>
    <row r="14" customFormat="false" ht="16.5" hidden="false" customHeight="true" outlineLevel="0" collapsed="false">
      <c r="A14" s="11" t="n">
        <v>10</v>
      </c>
      <c r="B14" s="12" t="n">
        <v>2010</v>
      </c>
      <c r="C14" s="13" t="s">
        <v>24</v>
      </c>
      <c r="D14" s="14" t="n">
        <v>5.5</v>
      </c>
      <c r="E14" s="14" t="n">
        <v>19.1</v>
      </c>
      <c r="F14" s="16" t="s">
        <v>18</v>
      </c>
    </row>
    <row r="15" customFormat="false" ht="16.5" hidden="false" customHeight="true" outlineLevel="0" collapsed="false">
      <c r="A15" s="6" t="n">
        <v>11</v>
      </c>
      <c r="B15" s="7" t="n">
        <v>2011</v>
      </c>
      <c r="C15" s="8" t="s">
        <v>12</v>
      </c>
      <c r="D15" s="9" t="n">
        <v>417.5</v>
      </c>
      <c r="E15" s="9" t="n">
        <v>1240</v>
      </c>
      <c r="F15" s="17" t="s">
        <v>25</v>
      </c>
    </row>
    <row r="16" customFormat="false" ht="16.5" hidden="false" customHeight="true" outlineLevel="0" collapsed="false">
      <c r="A16" s="11" t="n">
        <v>12</v>
      </c>
      <c r="B16" s="12" t="n">
        <v>2011</v>
      </c>
      <c r="C16" s="13" t="s">
        <v>16</v>
      </c>
      <c r="D16" s="14" t="n">
        <v>89.6</v>
      </c>
      <c r="E16" s="14" t="n">
        <v>338.7</v>
      </c>
      <c r="F16" s="16" t="s">
        <v>18</v>
      </c>
    </row>
    <row r="17" customFormat="false" ht="16.5" hidden="false" customHeight="true" outlineLevel="0" collapsed="false">
      <c r="A17" s="6" t="n">
        <v>13</v>
      </c>
      <c r="B17" s="7" t="n">
        <v>2011</v>
      </c>
      <c r="C17" s="8" t="s">
        <v>17</v>
      </c>
      <c r="D17" s="9" t="n">
        <v>18.6</v>
      </c>
      <c r="E17" s="9" t="n">
        <v>73.9</v>
      </c>
      <c r="F17" s="10" t="s">
        <v>13</v>
      </c>
    </row>
    <row r="18" customFormat="false" ht="16.5" hidden="false" customHeight="true" outlineLevel="0" collapsed="false">
      <c r="A18" s="11" t="n">
        <v>14</v>
      </c>
      <c r="B18" s="12" t="n">
        <v>2011</v>
      </c>
      <c r="C18" s="13" t="s">
        <v>19</v>
      </c>
      <c r="D18" s="14" t="n">
        <v>29.6</v>
      </c>
      <c r="E18" s="14" t="n">
        <v>106.6</v>
      </c>
      <c r="F18" s="16" t="s">
        <v>18</v>
      </c>
    </row>
    <row r="19" customFormat="false" ht="16.5" hidden="false" customHeight="true" outlineLevel="0" collapsed="false">
      <c r="A19" s="6" t="n">
        <v>15</v>
      </c>
      <c r="B19" s="7" t="n">
        <v>2011</v>
      </c>
      <c r="C19" s="8" t="s">
        <v>20</v>
      </c>
      <c r="D19" s="9" t="n">
        <v>62</v>
      </c>
      <c r="E19" s="9" t="n">
        <v>219.8</v>
      </c>
      <c r="F19" s="16" t="s">
        <v>18</v>
      </c>
    </row>
    <row r="20" customFormat="false" ht="16.5" hidden="false" customHeight="true" outlineLevel="0" collapsed="false">
      <c r="A20" s="11" t="n">
        <v>16</v>
      </c>
      <c r="B20" s="12" t="n">
        <v>2011</v>
      </c>
      <c r="C20" s="13" t="s">
        <v>21</v>
      </c>
      <c r="D20" s="14" t="n">
        <v>725.7</v>
      </c>
      <c r="E20" s="14" t="n">
        <v>2754</v>
      </c>
      <c r="F20" s="16" t="s">
        <v>18</v>
      </c>
    </row>
    <row r="21" customFormat="false" ht="16.5" hidden="false" customHeight="true" outlineLevel="0" collapsed="false">
      <c r="A21" s="6" t="n">
        <v>17</v>
      </c>
      <c r="B21" s="7" t="n">
        <v>2011</v>
      </c>
      <c r="C21" s="8" t="s">
        <v>22</v>
      </c>
      <c r="D21" s="9" t="n">
        <v>21.3</v>
      </c>
      <c r="E21" s="9" t="n">
        <v>74.1</v>
      </c>
      <c r="F21" s="16" t="s">
        <v>18</v>
      </c>
    </row>
    <row r="22" customFormat="false" ht="16.5" hidden="false" customHeight="true" outlineLevel="0" collapsed="false">
      <c r="A22" s="11" t="n">
        <v>18</v>
      </c>
      <c r="B22" s="12" t="n">
        <v>2011</v>
      </c>
      <c r="C22" s="13" t="s">
        <v>23</v>
      </c>
      <c r="D22" s="14" t="n">
        <v>17.1</v>
      </c>
      <c r="E22" s="14" t="n">
        <v>64</v>
      </c>
      <c r="F22" s="16" t="s">
        <v>18</v>
      </c>
    </row>
    <row r="23" customFormat="false" ht="16.5" hidden="false" customHeight="true" outlineLevel="0" collapsed="false">
      <c r="A23" s="6" t="n">
        <v>19</v>
      </c>
      <c r="B23" s="7" t="n">
        <v>2011</v>
      </c>
      <c r="C23" s="8" t="s">
        <v>24</v>
      </c>
      <c r="D23" s="9" t="n">
        <v>7.5</v>
      </c>
      <c r="E23" s="9" t="n">
        <v>21.8</v>
      </c>
      <c r="F23" s="17" t="s">
        <v>25</v>
      </c>
    </row>
    <row r="24" customFormat="false" ht="16.5" hidden="false" customHeight="true" outlineLevel="0" collapsed="false">
      <c r="A24" s="11" t="n">
        <v>20</v>
      </c>
      <c r="B24" s="12" t="n">
        <v>2012</v>
      </c>
      <c r="C24" s="13" t="s">
        <v>12</v>
      </c>
      <c r="D24" s="14" t="n">
        <v>271.4</v>
      </c>
      <c r="E24" s="14" t="n">
        <v>903.8</v>
      </c>
      <c r="F24" s="17" t="s">
        <v>25</v>
      </c>
    </row>
    <row r="25" customFormat="false" ht="16.5" hidden="false" customHeight="true" outlineLevel="0" collapsed="false">
      <c r="A25" s="6" t="n">
        <v>21</v>
      </c>
      <c r="B25" s="7" t="n">
        <v>2012</v>
      </c>
      <c r="C25" s="8" t="s">
        <v>16</v>
      </c>
      <c r="D25" s="9" t="n">
        <v>46.1</v>
      </c>
      <c r="E25" s="9" t="n">
        <v>178.4</v>
      </c>
      <c r="F25" s="16" t="s">
        <v>18</v>
      </c>
    </row>
    <row r="26" customFormat="false" ht="16.5" hidden="false" customHeight="true" outlineLevel="0" collapsed="false">
      <c r="A26" s="11" t="n">
        <v>22</v>
      </c>
      <c r="B26" s="12" t="n">
        <v>2012</v>
      </c>
      <c r="C26" s="13" t="s">
        <v>17</v>
      </c>
      <c r="D26" s="14" t="n">
        <v>16.7</v>
      </c>
      <c r="E26" s="14" t="n">
        <v>66.3</v>
      </c>
      <c r="F26" s="10" t="s">
        <v>13</v>
      </c>
    </row>
    <row r="27" customFormat="false" ht="16.5" hidden="false" customHeight="true" outlineLevel="0" collapsed="false">
      <c r="A27" s="6" t="n">
        <v>23</v>
      </c>
      <c r="B27" s="7" t="n">
        <v>2012</v>
      </c>
      <c r="C27" s="8" t="s">
        <v>19</v>
      </c>
      <c r="D27" s="9" t="n">
        <v>20</v>
      </c>
      <c r="E27" s="9" t="n">
        <v>67.5</v>
      </c>
      <c r="F27" s="17" t="s">
        <v>25</v>
      </c>
    </row>
    <row r="28" customFormat="false" ht="16.5" hidden="false" customHeight="true" outlineLevel="0" collapsed="false">
      <c r="A28" s="11" t="n">
        <v>24</v>
      </c>
      <c r="B28" s="12" t="n">
        <v>2012</v>
      </c>
      <c r="C28" s="13" t="s">
        <v>20</v>
      </c>
      <c r="D28" s="14" t="n">
        <v>39.5</v>
      </c>
      <c r="E28" s="14" t="n">
        <v>172.4</v>
      </c>
      <c r="F28" s="10" t="s">
        <v>13</v>
      </c>
    </row>
    <row r="29" customFormat="false" ht="16.5" hidden="false" customHeight="true" outlineLevel="0" collapsed="false">
      <c r="A29" s="6" t="n">
        <v>25</v>
      </c>
      <c r="B29" s="7" t="n">
        <v>2012</v>
      </c>
      <c r="C29" s="8" t="s">
        <v>21</v>
      </c>
      <c r="D29" s="9" t="n">
        <v>475.3</v>
      </c>
      <c r="E29" s="9" t="n">
        <v>1860.8</v>
      </c>
      <c r="F29" s="16" t="s">
        <v>18</v>
      </c>
    </row>
    <row r="30" customFormat="false" ht="16.5" hidden="false" customHeight="true" outlineLevel="0" collapsed="false">
      <c r="A30" s="11" t="n">
        <v>26</v>
      </c>
      <c r="B30" s="12" t="n">
        <v>2012</v>
      </c>
      <c r="C30" s="13" t="s">
        <v>22</v>
      </c>
      <c r="D30" s="14" t="n">
        <v>11.4</v>
      </c>
      <c r="E30" s="14" t="n">
        <v>37.3</v>
      </c>
      <c r="F30" s="17" t="s">
        <v>25</v>
      </c>
    </row>
    <row r="31" customFormat="false" ht="16.5" hidden="false" customHeight="true" outlineLevel="0" collapsed="false">
      <c r="A31" s="6" t="n">
        <v>27</v>
      </c>
      <c r="B31" s="7" t="n">
        <v>2012</v>
      </c>
      <c r="C31" s="8" t="s">
        <v>23</v>
      </c>
      <c r="D31" s="9" t="n">
        <v>5.8</v>
      </c>
      <c r="E31" s="9" t="n">
        <v>21</v>
      </c>
      <c r="F31" s="16" t="s">
        <v>18</v>
      </c>
    </row>
    <row r="32" customFormat="false" ht="16.5" hidden="false" customHeight="true" outlineLevel="0" collapsed="false">
      <c r="A32" s="11" t="n">
        <v>28</v>
      </c>
      <c r="B32" s="12" t="n">
        <v>2012</v>
      </c>
      <c r="C32" s="13" t="s">
        <v>24</v>
      </c>
      <c r="D32" s="14" t="n">
        <v>6</v>
      </c>
      <c r="E32" s="14" t="n">
        <v>18.9</v>
      </c>
      <c r="F32" s="17" t="s">
        <v>25</v>
      </c>
    </row>
    <row r="33" customFormat="false" ht="16.5" hidden="false" customHeight="true" outlineLevel="0" collapsed="false">
      <c r="A33" s="6" t="n">
        <v>29</v>
      </c>
      <c r="B33" s="7" t="n">
        <v>2013</v>
      </c>
      <c r="C33" s="8" t="s">
        <v>12</v>
      </c>
      <c r="D33" s="9" t="n">
        <v>319.4</v>
      </c>
      <c r="E33" s="9" t="n">
        <v>1236.1</v>
      </c>
      <c r="F33" s="16" t="s">
        <v>18</v>
      </c>
    </row>
    <row r="34" customFormat="false" ht="16.5" hidden="false" customHeight="true" outlineLevel="0" collapsed="false">
      <c r="A34" s="11" t="n">
        <v>30</v>
      </c>
      <c r="B34" s="12" t="n">
        <v>2013</v>
      </c>
      <c r="C34" s="13" t="s">
        <v>16</v>
      </c>
      <c r="D34" s="14" t="n">
        <v>53.6</v>
      </c>
      <c r="E34" s="14" t="n">
        <v>210.6</v>
      </c>
      <c r="F34" s="16" t="s">
        <v>18</v>
      </c>
    </row>
    <row r="35" customFormat="false" ht="16.5" hidden="false" customHeight="true" outlineLevel="0" collapsed="false">
      <c r="A35" s="6" t="n">
        <v>31</v>
      </c>
      <c r="B35" s="7" t="n">
        <v>2013</v>
      </c>
      <c r="C35" s="8" t="s">
        <v>17</v>
      </c>
      <c r="D35" s="9" t="n">
        <v>18.6</v>
      </c>
      <c r="E35" s="9" t="n">
        <v>77</v>
      </c>
      <c r="F35" s="10" t="s">
        <v>13</v>
      </c>
    </row>
    <row r="36" customFormat="false" ht="16.5" hidden="false" customHeight="true" outlineLevel="0" collapsed="false">
      <c r="A36" s="11" t="n">
        <v>32</v>
      </c>
      <c r="B36" s="12" t="n">
        <v>2013</v>
      </c>
      <c r="C36" s="13" t="s">
        <v>19</v>
      </c>
      <c r="D36" s="14" t="n">
        <v>20.9</v>
      </c>
      <c r="E36" s="14" t="n">
        <v>72.5</v>
      </c>
      <c r="F36" s="16" t="s">
        <v>18</v>
      </c>
    </row>
    <row r="37" customFormat="false" ht="16.5" hidden="false" customHeight="true" outlineLevel="0" collapsed="false">
      <c r="A37" s="6" t="n">
        <v>33</v>
      </c>
      <c r="B37" s="7" t="n">
        <v>2013</v>
      </c>
      <c r="C37" s="8" t="s">
        <v>20</v>
      </c>
      <c r="D37" s="9" t="n">
        <v>37.5</v>
      </c>
      <c r="E37" s="9" t="n">
        <v>160.3</v>
      </c>
      <c r="F37" s="10" t="s">
        <v>13</v>
      </c>
    </row>
    <row r="38" customFormat="false" ht="16.5" hidden="false" customHeight="true" outlineLevel="0" collapsed="false">
      <c r="A38" s="11" t="n">
        <v>34</v>
      </c>
      <c r="B38" s="12" t="n">
        <v>2013</v>
      </c>
      <c r="C38" s="13" t="s">
        <v>21</v>
      </c>
      <c r="D38" s="14" t="n">
        <v>643.1</v>
      </c>
      <c r="E38" s="14" t="n">
        <v>2546.7</v>
      </c>
      <c r="F38" s="10" t="s">
        <v>13</v>
      </c>
    </row>
    <row r="39" customFormat="false" ht="16.5" hidden="false" customHeight="true" outlineLevel="0" collapsed="false">
      <c r="A39" s="6" t="n">
        <v>35</v>
      </c>
      <c r="B39" s="7" t="n">
        <v>2013</v>
      </c>
      <c r="C39" s="8" t="s">
        <v>22</v>
      </c>
      <c r="D39" s="9" t="n">
        <v>12.1</v>
      </c>
      <c r="E39" s="9" t="n">
        <v>49.9</v>
      </c>
      <c r="F39" s="10" t="s">
        <v>13</v>
      </c>
    </row>
    <row r="40" customFormat="false" ht="16.5" hidden="false" customHeight="true" outlineLevel="0" collapsed="false">
      <c r="A40" s="11" t="n">
        <v>36</v>
      </c>
      <c r="B40" s="12" t="n">
        <v>2013</v>
      </c>
      <c r="C40" s="13" t="s">
        <v>23</v>
      </c>
      <c r="D40" s="14" t="n">
        <v>8</v>
      </c>
      <c r="E40" s="14" t="n">
        <v>27</v>
      </c>
      <c r="F40" s="17" t="s">
        <v>25</v>
      </c>
    </row>
    <row r="41" customFormat="false" ht="16.5" hidden="false" customHeight="true" outlineLevel="0" collapsed="false">
      <c r="A41" s="6" t="n">
        <v>37</v>
      </c>
      <c r="B41" s="7" t="n">
        <v>2013</v>
      </c>
      <c r="C41" s="8" t="s">
        <v>24</v>
      </c>
      <c r="D41" s="9" t="n">
        <v>4.8</v>
      </c>
      <c r="E41" s="9" t="n">
        <v>19.3</v>
      </c>
      <c r="F41" s="10" t="s">
        <v>13</v>
      </c>
    </row>
    <row r="42" customFormat="false" ht="16.5" hidden="false" customHeight="true" outlineLevel="0" collapsed="false">
      <c r="A42" s="11" t="n">
        <v>38</v>
      </c>
      <c r="B42" s="12" t="n">
        <v>2014</v>
      </c>
      <c r="C42" s="13" t="s">
        <v>12</v>
      </c>
      <c r="D42" s="14" t="n">
        <v>281.1</v>
      </c>
      <c r="E42" s="14" t="n">
        <v>1086.4</v>
      </c>
      <c r="F42" s="16" t="s">
        <v>18</v>
      </c>
    </row>
    <row r="43" customFormat="false" ht="16.5" hidden="false" customHeight="true" outlineLevel="0" collapsed="false">
      <c r="A43" s="6" t="n">
        <v>39</v>
      </c>
      <c r="B43" s="7" t="n">
        <v>2014</v>
      </c>
      <c r="C43" s="8" t="s">
        <v>16</v>
      </c>
      <c r="D43" s="9" t="n">
        <v>33.8</v>
      </c>
      <c r="E43" s="9" t="n">
        <v>132.5</v>
      </c>
      <c r="F43" s="16" t="s">
        <v>18</v>
      </c>
    </row>
    <row r="44" customFormat="false" ht="16.5" hidden="false" customHeight="true" outlineLevel="0" collapsed="false">
      <c r="A44" s="11" t="n">
        <v>40</v>
      </c>
      <c r="B44" s="12" t="n">
        <v>2014</v>
      </c>
      <c r="C44" s="13" t="s">
        <v>17</v>
      </c>
      <c r="D44" s="14" t="n">
        <v>21.4</v>
      </c>
      <c r="E44" s="14" t="n">
        <v>85.3</v>
      </c>
      <c r="F44" s="10" t="s">
        <v>13</v>
      </c>
    </row>
    <row r="45" customFormat="false" ht="16.5" hidden="false" customHeight="true" outlineLevel="0" collapsed="false">
      <c r="A45" s="6" t="n">
        <v>41</v>
      </c>
      <c r="B45" s="7" t="n">
        <v>2014</v>
      </c>
      <c r="C45" s="8" t="s">
        <v>19</v>
      </c>
      <c r="D45" s="9" t="n">
        <v>18.8</v>
      </c>
      <c r="E45" s="9" t="n">
        <v>67.7</v>
      </c>
      <c r="F45" s="16" t="s">
        <v>18</v>
      </c>
    </row>
    <row r="46" customFormat="false" ht="16.5" hidden="false" customHeight="true" outlineLevel="0" collapsed="false">
      <c r="A46" s="11" t="n">
        <v>42</v>
      </c>
      <c r="B46" s="12" t="n">
        <v>2014</v>
      </c>
      <c r="C46" s="13" t="s">
        <v>20</v>
      </c>
      <c r="D46" s="14" t="n">
        <v>31.1</v>
      </c>
      <c r="E46" s="14" t="n">
        <v>140</v>
      </c>
      <c r="F46" s="10" t="s">
        <v>13</v>
      </c>
    </row>
    <row r="47" customFormat="false" ht="16.5" hidden="false" customHeight="true" outlineLevel="0" collapsed="false">
      <c r="A47" s="6" t="n">
        <v>43</v>
      </c>
      <c r="B47" s="7" t="n">
        <v>2014</v>
      </c>
      <c r="C47" s="8" t="s">
        <v>21</v>
      </c>
      <c r="D47" s="9" t="n">
        <v>562.7</v>
      </c>
      <c r="E47" s="9" t="n">
        <v>2304.3</v>
      </c>
      <c r="F47" s="10" t="s">
        <v>13</v>
      </c>
    </row>
    <row r="48" customFormat="false" ht="16.5" hidden="false" customHeight="true" outlineLevel="0" collapsed="false">
      <c r="A48" s="11" t="n">
        <v>44</v>
      </c>
      <c r="B48" s="12" t="n">
        <v>2014</v>
      </c>
      <c r="C48" s="13" t="s">
        <v>22</v>
      </c>
      <c r="D48" s="14" t="n">
        <v>14.2</v>
      </c>
      <c r="E48" s="14" t="n">
        <v>50.2</v>
      </c>
      <c r="F48" s="16" t="s">
        <v>18</v>
      </c>
    </row>
    <row r="49" customFormat="false" ht="16.5" hidden="false" customHeight="true" outlineLevel="0" collapsed="false">
      <c r="A49" s="6" t="n">
        <v>45</v>
      </c>
      <c r="B49" s="7" t="n">
        <v>2014</v>
      </c>
      <c r="C49" s="8" t="s">
        <v>23</v>
      </c>
      <c r="D49" s="9" t="n">
        <v>3.4</v>
      </c>
      <c r="E49" s="9" t="n">
        <v>11.7</v>
      </c>
      <c r="F49" s="17" t="s">
        <v>25</v>
      </c>
    </row>
    <row r="50" customFormat="false" ht="16.5" hidden="false" customHeight="true" outlineLevel="0" collapsed="false">
      <c r="A50" s="11" t="n">
        <v>46</v>
      </c>
      <c r="B50" s="12" t="n">
        <v>2014</v>
      </c>
      <c r="C50" s="13" t="s">
        <v>24</v>
      </c>
      <c r="D50" s="14" t="n">
        <v>7.7</v>
      </c>
      <c r="E50" s="14" t="n">
        <v>29.5</v>
      </c>
      <c r="F50" s="16" t="s">
        <v>18</v>
      </c>
    </row>
    <row r="51" customFormat="false" ht="16.5" hidden="false" customHeight="true" outlineLevel="0" collapsed="false">
      <c r="A51" s="6" t="n">
        <v>47</v>
      </c>
      <c r="B51" s="7" t="n">
        <v>2015</v>
      </c>
      <c r="C51" s="8" t="s">
        <v>12</v>
      </c>
      <c r="D51" s="9" t="n">
        <v>235.2</v>
      </c>
      <c r="E51" s="9" t="n">
        <v>618.3</v>
      </c>
      <c r="F51" s="17" t="s">
        <v>25</v>
      </c>
    </row>
    <row r="52" customFormat="false" ht="16.5" hidden="false" customHeight="true" outlineLevel="0" collapsed="false">
      <c r="A52" s="11" t="n">
        <v>48</v>
      </c>
      <c r="B52" s="12" t="n">
        <v>2015</v>
      </c>
      <c r="C52" s="13" t="s">
        <v>16</v>
      </c>
      <c r="D52" s="14" t="n">
        <v>29.7</v>
      </c>
      <c r="E52" s="14" t="n">
        <v>89.1</v>
      </c>
      <c r="F52" s="17" t="s">
        <v>25</v>
      </c>
    </row>
    <row r="53" customFormat="false" ht="16.5" hidden="false" customHeight="true" outlineLevel="0" collapsed="false">
      <c r="A53" s="6" t="n">
        <v>49</v>
      </c>
      <c r="B53" s="7" t="n">
        <v>2015</v>
      </c>
      <c r="C53" s="8" t="s">
        <v>17</v>
      </c>
      <c r="D53" s="9" t="n">
        <v>20.9</v>
      </c>
      <c r="E53" s="9" t="n">
        <v>82.5</v>
      </c>
      <c r="F53" s="16" t="s">
        <v>18</v>
      </c>
    </row>
    <row r="54" customFormat="false" ht="16.5" hidden="false" customHeight="true" outlineLevel="0" collapsed="false">
      <c r="A54" s="11" t="n">
        <v>50</v>
      </c>
      <c r="B54" s="12" t="n">
        <v>2015</v>
      </c>
      <c r="C54" s="13" t="s">
        <v>19</v>
      </c>
      <c r="D54" s="14" t="n">
        <v>19.6</v>
      </c>
      <c r="E54" s="14" t="n">
        <v>67</v>
      </c>
      <c r="F54" s="17" t="s">
        <v>25</v>
      </c>
    </row>
    <row r="55" customFormat="false" ht="16.5" hidden="false" customHeight="true" outlineLevel="0" collapsed="false">
      <c r="A55" s="6" t="n">
        <v>51</v>
      </c>
      <c r="B55" s="7" t="n">
        <v>2015</v>
      </c>
      <c r="C55" s="8" t="s">
        <v>20</v>
      </c>
      <c r="D55" s="9" t="n">
        <v>29.9</v>
      </c>
      <c r="E55" s="9" t="n">
        <v>122.3</v>
      </c>
      <c r="F55" s="10" t="s">
        <v>13</v>
      </c>
    </row>
    <row r="56" customFormat="false" ht="16.5" hidden="false" customHeight="true" outlineLevel="0" collapsed="false">
      <c r="A56" s="11" t="n">
        <v>52</v>
      </c>
      <c r="B56" s="12" t="n">
        <v>2015</v>
      </c>
      <c r="C56" s="13" t="s">
        <v>21</v>
      </c>
      <c r="D56" s="14" t="n">
        <v>600.8</v>
      </c>
      <c r="E56" s="14" t="n">
        <v>2201.3</v>
      </c>
      <c r="F56" s="16" t="s">
        <v>18</v>
      </c>
    </row>
    <row r="57" customFormat="false" ht="16.5" hidden="false" customHeight="true" outlineLevel="0" collapsed="false">
      <c r="A57" s="6" t="n">
        <v>53</v>
      </c>
      <c r="B57" s="7" t="n">
        <v>2015</v>
      </c>
      <c r="C57" s="8" t="s">
        <v>22</v>
      </c>
      <c r="D57" s="9" t="n">
        <v>5.5</v>
      </c>
      <c r="E57" s="9" t="n">
        <v>6.7</v>
      </c>
      <c r="F57" s="15" t="s">
        <v>15</v>
      </c>
    </row>
    <row r="58" customFormat="false" ht="16.5" hidden="false" customHeight="true" outlineLevel="0" collapsed="false">
      <c r="A58" s="11" t="n">
        <v>54</v>
      </c>
      <c r="B58" s="12" t="n">
        <v>2015</v>
      </c>
      <c r="C58" s="13" t="s">
        <v>23</v>
      </c>
      <c r="D58" s="14" t="n">
        <v>4.2</v>
      </c>
      <c r="E58" s="14" t="n">
        <v>13.9</v>
      </c>
      <c r="F58" s="17" t="s">
        <v>25</v>
      </c>
    </row>
    <row r="59" customFormat="false" ht="16.5" hidden="false" customHeight="true" outlineLevel="0" collapsed="false">
      <c r="A59" s="6" t="n">
        <v>55</v>
      </c>
      <c r="B59" s="7" t="n">
        <v>2015</v>
      </c>
      <c r="C59" s="8" t="s">
        <v>24</v>
      </c>
      <c r="D59" s="9" t="n">
        <v>7.8</v>
      </c>
      <c r="E59" s="9" t="n">
        <v>21.7</v>
      </c>
      <c r="F59" s="17" t="s">
        <v>25</v>
      </c>
    </row>
    <row r="60" customFormat="false" ht="16.5" hidden="false" customHeight="true" outlineLevel="0" collapsed="false">
      <c r="A60" s="11" t="n">
        <v>56</v>
      </c>
      <c r="B60" s="12" t="n">
        <v>2016</v>
      </c>
      <c r="C60" s="13" t="s">
        <v>12</v>
      </c>
      <c r="D60" s="14" t="n">
        <v>201.6</v>
      </c>
      <c r="E60" s="14" t="n">
        <v>865.5</v>
      </c>
      <c r="F60" s="10" t="s">
        <v>13</v>
      </c>
    </row>
    <row r="61" customFormat="false" ht="16.5" hidden="false" customHeight="true" outlineLevel="0" collapsed="false">
      <c r="A61" s="6" t="n">
        <v>57</v>
      </c>
      <c r="B61" s="7" t="n">
        <v>2016</v>
      </c>
      <c r="C61" s="8" t="s">
        <v>16</v>
      </c>
      <c r="D61" s="9" t="n">
        <v>26.2</v>
      </c>
      <c r="E61" s="9" t="n">
        <v>106.3</v>
      </c>
      <c r="F61" s="10" t="s">
        <v>13</v>
      </c>
    </row>
    <row r="62" customFormat="false" ht="16.5" hidden="false" customHeight="true" outlineLevel="0" collapsed="false">
      <c r="A62" s="11" t="n">
        <v>58</v>
      </c>
      <c r="B62" s="12" t="n">
        <v>2016</v>
      </c>
      <c r="C62" s="13" t="s">
        <v>17</v>
      </c>
      <c r="D62" s="14" t="n">
        <v>22.5</v>
      </c>
      <c r="E62" s="14" t="n">
        <v>88.1</v>
      </c>
      <c r="F62" s="16" t="s">
        <v>18</v>
      </c>
    </row>
    <row r="63" customFormat="false" ht="16.5" hidden="false" customHeight="true" outlineLevel="0" collapsed="false">
      <c r="A63" s="6" t="n">
        <v>59</v>
      </c>
      <c r="B63" s="7" t="n">
        <v>2016</v>
      </c>
      <c r="C63" s="8" t="s">
        <v>19</v>
      </c>
      <c r="D63" s="9" t="n">
        <v>15.6</v>
      </c>
      <c r="E63" s="9" t="n">
        <v>58.3</v>
      </c>
      <c r="F63" s="16" t="s">
        <v>18</v>
      </c>
    </row>
    <row r="64" customFormat="false" ht="16.5" hidden="false" customHeight="true" outlineLevel="0" collapsed="false">
      <c r="A64" s="11" t="n">
        <v>60</v>
      </c>
      <c r="B64" s="12" t="n">
        <v>2016</v>
      </c>
      <c r="C64" s="13" t="s">
        <v>20</v>
      </c>
      <c r="D64" s="14" t="n">
        <v>28.6</v>
      </c>
      <c r="E64" s="14" t="n">
        <v>124.4</v>
      </c>
      <c r="F64" s="10" t="s">
        <v>13</v>
      </c>
    </row>
    <row r="65" customFormat="false" ht="16.5" hidden="false" customHeight="true" outlineLevel="0" collapsed="false">
      <c r="A65" s="6" t="n">
        <v>61</v>
      </c>
      <c r="B65" s="7" t="n">
        <v>2016</v>
      </c>
      <c r="C65" s="8" t="s">
        <v>21</v>
      </c>
      <c r="D65" s="9" t="n">
        <v>627.8</v>
      </c>
      <c r="E65" s="9" t="n">
        <v>2528.2</v>
      </c>
      <c r="F65" s="10" t="s">
        <v>13</v>
      </c>
    </row>
    <row r="66" customFormat="false" ht="16.5" hidden="false" customHeight="true" outlineLevel="0" collapsed="false">
      <c r="A66" s="11" t="n">
        <v>62</v>
      </c>
      <c r="B66" s="12" t="n">
        <v>2016</v>
      </c>
      <c r="C66" s="13" t="s">
        <v>22</v>
      </c>
      <c r="D66" s="14" t="n">
        <v>5.6</v>
      </c>
      <c r="E66" s="14" t="n">
        <v>19.7</v>
      </c>
      <c r="F66" s="16" t="s">
        <v>18</v>
      </c>
    </row>
    <row r="67" customFormat="false" ht="16.5" hidden="false" customHeight="true" outlineLevel="0" collapsed="false">
      <c r="A67" s="6" t="n">
        <v>63</v>
      </c>
      <c r="B67" s="7" t="n">
        <v>2016</v>
      </c>
      <c r="C67" s="8" t="s">
        <v>26</v>
      </c>
      <c r="D67" s="9" t="n">
        <v>2.5</v>
      </c>
      <c r="E67" s="9" t="n">
        <v>10.5</v>
      </c>
      <c r="F67" s="10" t="s">
        <v>13</v>
      </c>
    </row>
    <row r="68" customFormat="false" ht="16.5" hidden="false" customHeight="true" outlineLevel="0" collapsed="false">
      <c r="A68" s="11" t="n">
        <v>64</v>
      </c>
      <c r="B68" s="12" t="n">
        <v>2016</v>
      </c>
      <c r="C68" s="13" t="s">
        <v>23</v>
      </c>
      <c r="D68" s="14" t="n">
        <v>2.8</v>
      </c>
      <c r="E68" s="14" t="n">
        <v>9.5</v>
      </c>
      <c r="F68" s="17" t="s">
        <v>25</v>
      </c>
    </row>
    <row r="69" customFormat="false" ht="16.5" hidden="false" customHeight="true" outlineLevel="0" collapsed="false">
      <c r="A69" s="6" t="n">
        <v>65</v>
      </c>
      <c r="B69" s="7" t="n">
        <v>2016</v>
      </c>
      <c r="C69" s="8" t="s">
        <v>24</v>
      </c>
      <c r="D69" s="9" t="n">
        <v>4.8</v>
      </c>
      <c r="E69" s="9" t="n">
        <v>15.3</v>
      </c>
      <c r="F69" s="17" t="s">
        <v>25</v>
      </c>
    </row>
    <row r="70" customFormat="false" ht="16.5" hidden="false" customHeight="true" outlineLevel="0" collapsed="false">
      <c r="A70" s="11" t="n">
        <v>66</v>
      </c>
      <c r="B70" s="12" t="n">
        <v>2017</v>
      </c>
      <c r="C70" s="13" t="s">
        <v>12</v>
      </c>
      <c r="D70" s="14" t="n">
        <v>263.7</v>
      </c>
      <c r="E70" s="14" t="n">
        <v>1246</v>
      </c>
      <c r="F70" s="10" t="s">
        <v>13</v>
      </c>
    </row>
    <row r="71" customFormat="false" ht="16.5" hidden="false" customHeight="true" outlineLevel="0" collapsed="false">
      <c r="A71" s="6" t="n">
        <v>67</v>
      </c>
      <c r="B71" s="7" t="n">
        <v>2017</v>
      </c>
      <c r="C71" s="8" t="s">
        <v>16</v>
      </c>
      <c r="D71" s="9" t="n">
        <v>33</v>
      </c>
      <c r="E71" s="9" t="n">
        <v>135.3</v>
      </c>
      <c r="F71" s="10" t="s">
        <v>13</v>
      </c>
    </row>
    <row r="72" customFormat="false" ht="16.5" hidden="false" customHeight="true" outlineLevel="0" collapsed="false">
      <c r="A72" s="11" t="n">
        <v>68</v>
      </c>
      <c r="B72" s="12" t="n">
        <v>2017</v>
      </c>
      <c r="C72" s="13" t="s">
        <v>17</v>
      </c>
      <c r="D72" s="14" t="n">
        <v>22.3</v>
      </c>
      <c r="E72" s="14" t="n">
        <v>87.3</v>
      </c>
      <c r="F72" s="16" t="s">
        <v>18</v>
      </c>
    </row>
    <row r="73" customFormat="false" ht="16.5" hidden="false" customHeight="true" outlineLevel="0" collapsed="false">
      <c r="A73" s="6" t="n">
        <v>69</v>
      </c>
      <c r="B73" s="7" t="n">
        <v>2017</v>
      </c>
      <c r="C73" s="8" t="s">
        <v>19</v>
      </c>
      <c r="D73" s="9" t="n">
        <v>25</v>
      </c>
      <c r="E73" s="9" t="n">
        <v>99.2</v>
      </c>
      <c r="F73" s="10" t="s">
        <v>13</v>
      </c>
    </row>
    <row r="74" customFormat="false" ht="16.5" hidden="false" customHeight="true" outlineLevel="0" collapsed="false">
      <c r="A74" s="11" t="n">
        <v>70</v>
      </c>
      <c r="B74" s="12" t="n">
        <v>2017</v>
      </c>
      <c r="C74" s="13" t="s">
        <v>20</v>
      </c>
      <c r="D74" s="14" t="n">
        <v>30.4</v>
      </c>
      <c r="E74" s="14" t="n">
        <v>136.8</v>
      </c>
      <c r="F74" s="10" t="s">
        <v>13</v>
      </c>
    </row>
    <row r="75" customFormat="false" ht="16.5" hidden="false" customHeight="true" outlineLevel="0" collapsed="false">
      <c r="A75" s="6" t="n">
        <v>71</v>
      </c>
      <c r="B75" s="7" t="n">
        <v>2017</v>
      </c>
      <c r="C75" s="8" t="s">
        <v>21</v>
      </c>
      <c r="D75" s="9" t="n">
        <v>777.8</v>
      </c>
      <c r="E75" s="9" t="n">
        <v>3225.5</v>
      </c>
      <c r="F75" s="10" t="s">
        <v>13</v>
      </c>
    </row>
    <row r="76" customFormat="false" ht="16.5" hidden="false" customHeight="true" outlineLevel="0" collapsed="false">
      <c r="A76" s="11" t="n">
        <v>72</v>
      </c>
      <c r="B76" s="12" t="n">
        <v>2017</v>
      </c>
      <c r="C76" s="13" t="s">
        <v>22</v>
      </c>
      <c r="D76" s="14" t="n">
        <v>7.2</v>
      </c>
      <c r="E76" s="14" t="n">
        <v>27.7</v>
      </c>
      <c r="F76" s="16" t="s">
        <v>18</v>
      </c>
    </row>
    <row r="77" customFormat="false" ht="16.5" hidden="false" customHeight="true" outlineLevel="0" collapsed="false">
      <c r="A77" s="6" t="n">
        <v>73</v>
      </c>
      <c r="B77" s="7" t="n">
        <v>2017</v>
      </c>
      <c r="C77" s="8" t="s">
        <v>26</v>
      </c>
      <c r="D77" s="9" t="n">
        <v>4.8</v>
      </c>
      <c r="E77" s="9" t="n">
        <v>20.2</v>
      </c>
      <c r="F77" s="10" t="s">
        <v>13</v>
      </c>
    </row>
    <row r="78" customFormat="false" ht="16.5" hidden="false" customHeight="true" outlineLevel="0" collapsed="false">
      <c r="A78" s="11" t="n">
        <v>74</v>
      </c>
      <c r="B78" s="12" t="n">
        <v>2017</v>
      </c>
      <c r="C78" s="13" t="s">
        <v>23</v>
      </c>
      <c r="D78" s="14" t="n">
        <v>5.7</v>
      </c>
      <c r="E78" s="14" t="n">
        <v>21.7</v>
      </c>
      <c r="F78" s="16" t="s">
        <v>18</v>
      </c>
    </row>
    <row r="79" customFormat="false" ht="16.5" hidden="false" customHeight="true" outlineLevel="0" collapsed="false">
      <c r="A79" s="6" t="n">
        <v>75</v>
      </c>
      <c r="B79" s="7" t="n">
        <v>2017</v>
      </c>
      <c r="C79" s="8" t="s">
        <v>24</v>
      </c>
      <c r="D79" s="9" t="n">
        <v>2.8</v>
      </c>
      <c r="E79" s="9" t="n">
        <v>10.5</v>
      </c>
      <c r="F79" s="16" t="s">
        <v>18</v>
      </c>
    </row>
    <row r="80" customFormat="false" ht="19.5" hidden="false" customHeight="true" outlineLevel="0" collapsed="false">
      <c r="A80" s="10" t="s">
        <v>27</v>
      </c>
      <c r="B80" s="10"/>
      <c r="C80" s="10"/>
      <c r="D80" s="18" t="n">
        <f aca="false">SUM(D5:D79)</f>
        <v>8829.9</v>
      </c>
      <c r="E80" s="18" t="n">
        <f aca="false">SUM(E5:E79)</f>
        <v>33764.8</v>
      </c>
      <c r="F80" s="1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9" t="s">
        <v>28</v>
      </c>
      <c r="B1" s="19"/>
      <c r="C1" s="19"/>
      <c r="D1" s="19"/>
    </row>
    <row r="2" customFormat="false" ht="19.5" hidden="false" customHeight="true" outlineLevel="0" collapsed="false">
      <c r="A2" s="20" t="s">
        <v>29</v>
      </c>
      <c r="B2" s="20" t="s">
        <v>30</v>
      </c>
      <c r="C2" s="20" t="s">
        <v>31</v>
      </c>
      <c r="D2" s="20" t="s">
        <v>32</v>
      </c>
    </row>
    <row r="3" customFormat="false" ht="49.5" hidden="false" customHeight="true" outlineLevel="0" collapsed="false">
      <c r="A3" s="21" t="s">
        <v>7</v>
      </c>
      <c r="B3" s="22" t="s">
        <v>33</v>
      </c>
      <c r="C3" s="21" t="s">
        <v>34</v>
      </c>
      <c r="D3" s="21" t="s">
        <v>35</v>
      </c>
    </row>
    <row r="4" customFormat="false" ht="49.5" hidden="false" customHeight="true" outlineLevel="0" collapsed="false">
      <c r="A4" s="23" t="s">
        <v>8</v>
      </c>
      <c r="B4" s="24" t="s">
        <v>36</v>
      </c>
      <c r="C4" s="23" t="s">
        <v>37</v>
      </c>
      <c r="D4" s="23" t="s">
        <v>35</v>
      </c>
    </row>
    <row r="5" customFormat="false" ht="49.5" hidden="false" customHeight="true" outlineLevel="0" collapsed="false">
      <c r="A5" s="21" t="s">
        <v>9</v>
      </c>
      <c r="B5" s="22" t="s">
        <v>38</v>
      </c>
      <c r="C5" s="21" t="s">
        <v>39</v>
      </c>
      <c r="D5" s="21" t="s">
        <v>35</v>
      </c>
    </row>
    <row r="6" customFormat="false" ht="49.5" hidden="false" customHeight="true" outlineLevel="0" collapsed="false">
      <c r="A6" s="23" t="s">
        <v>10</v>
      </c>
      <c r="B6" s="24" t="s">
        <v>38</v>
      </c>
      <c r="C6" s="23" t="s">
        <v>40</v>
      </c>
      <c r="D6" s="23" t="s">
        <v>35</v>
      </c>
    </row>
    <row r="7" customFormat="false" ht="49.5" hidden="false" customHeight="true" outlineLevel="0" collapsed="false">
      <c r="A7" s="21" t="s">
        <v>11</v>
      </c>
      <c r="B7" s="22" t="s">
        <v>41</v>
      </c>
      <c r="C7" s="21" t="s">
        <v>42</v>
      </c>
      <c r="D7" s="21" t="s">
        <v>43</v>
      </c>
    </row>
    <row r="9" customFormat="false" ht="19.5" hidden="false" customHeight="true" outlineLevel="0" collapsed="false">
      <c r="A9" s="25" t="s">
        <v>44</v>
      </c>
      <c r="B9" s="25"/>
      <c r="C9" s="25"/>
      <c r="D9" s="25"/>
    </row>
    <row r="10" customFormat="false" ht="24" hidden="false" customHeight="true" outlineLevel="0" collapsed="false">
      <c r="A10" s="26" t="s">
        <v>15</v>
      </c>
      <c r="B10" s="27" t="s">
        <v>45</v>
      </c>
      <c r="C10" s="28" t="s">
        <v>46</v>
      </c>
      <c r="D10" s="27" t="s">
        <v>47</v>
      </c>
    </row>
    <row r="11" customFormat="false" ht="24" hidden="false" customHeight="true" outlineLevel="0" collapsed="false">
      <c r="A11" s="29" t="s">
        <v>25</v>
      </c>
      <c r="B11" s="27" t="s">
        <v>48</v>
      </c>
      <c r="C11" s="28" t="s">
        <v>49</v>
      </c>
      <c r="D11" s="27" t="s">
        <v>50</v>
      </c>
    </row>
    <row r="12" customFormat="false" ht="24" hidden="false" customHeight="true" outlineLevel="0" collapsed="false">
      <c r="A12" s="30" t="s">
        <v>18</v>
      </c>
      <c r="B12" s="27" t="s">
        <v>51</v>
      </c>
      <c r="C12" s="28" t="s">
        <v>52</v>
      </c>
      <c r="D12" s="27" t="s">
        <v>53</v>
      </c>
    </row>
    <row r="13" customFormat="false" ht="24" hidden="false" customHeight="true" outlineLevel="0" collapsed="false">
      <c r="A13" s="5" t="s">
        <v>13</v>
      </c>
      <c r="B13" s="27" t="s">
        <v>54</v>
      </c>
      <c r="C13" s="28" t="s">
        <v>55</v>
      </c>
      <c r="D13" s="27" t="s">
        <v>56</v>
      </c>
    </row>
  </sheetData>
  <mergeCells count="2">
    <mergeCell ref="A1:D1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2026-04-21T23:59:12Z</dcterms:created>
  <dc:creator>openpyxl</dc:creator>
  <dc:description/>
  <dc:language>en-US</dc:language>
  <cp:lastModifiedBy/>
  <dcterms:modified xsi:type="dcterms:W3CDTF">2026-04-21T23:59:12Z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